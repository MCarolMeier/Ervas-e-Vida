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<sst xmlns="http://schemas.openxmlformats.org/spreadsheetml/2006/main" count="156" uniqueCount="104">
  <si>
    <t>Coluna 1</t>
  </si>
  <si>
    <t>Nome popular/social</t>
  </si>
  <si>
    <t>Região onde nasce no RS</t>
  </si>
  <si>
    <t>É natural do RS?</t>
  </si>
  <si>
    <t>Origem natural</t>
  </si>
  <si>
    <t>Parte utilizada</t>
  </si>
  <si>
    <t>Forma de uso</t>
  </si>
  <si>
    <t>Época ideal de plantio</t>
  </si>
  <si>
    <t>Uso interno ou externo</t>
  </si>
  <si>
    <t>Necessidade de sol/sombra</t>
  </si>
  <si>
    <t>É venenosa?</t>
  </si>
  <si>
    <t>Partes tóxicas</t>
  </si>
  <si>
    <t>Receitas medicinais</t>
  </si>
  <si>
    <t>Imagem</t>
  </si>
  <si>
    <t>Foto</t>
  </si>
  <si>
    <t>Achyrocline satureioides</t>
  </si>
  <si>
    <t>Marcela</t>
  </si>
  <si>
    <t>Campanha e Serra</t>
  </si>
  <si>
    <t>Sim</t>
  </si>
  <si>
    <t>Sul da América do Sul</t>
  </si>
  <si>
    <t>Flores</t>
  </si>
  <si>
    <t>Chá</t>
  </si>
  <si>
    <t>Outono e primavera</t>
  </si>
  <si>
    <t>Interno</t>
  </si>
  <si>
    <t>Sol pleno</t>
  </si>
  <si>
    <t>Não</t>
  </si>
  <si>
    <t>Nenhuma</t>
  </si>
  <si>
    <t>Chá digestivo e calmante; infusão para cólicas e ansiedade</t>
  </si>
  <si>
    <t>https://upload.wikimedia.org/wikipedia/commons/5/5c/Achyrocline_satureioides.jpg</t>
  </si>
  <si>
    <t>Baccharis trimera</t>
  </si>
  <si>
    <t>Carqueja</t>
  </si>
  <si>
    <t>Pampas e estradas</t>
  </si>
  <si>
    <t>Brasil e Cone Sul</t>
  </si>
  <si>
    <t>Ramos</t>
  </si>
  <si>
    <t>Primavera</t>
  </si>
  <si>
    <t>Levemente tóxica em excesso</t>
  </si>
  <si>
    <t>Folhas e ramos em excesso</t>
  </si>
  <si>
    <t>Chá para fígado, digestão e controle glicêmico</t>
  </si>
  <si>
    <t>https://upload.wikimedia.org/wikipedia/commons/e/e2/Baccharis_trimera.jpg</t>
  </si>
  <si>
    <t>Maytenus ilicifolia</t>
  </si>
  <si>
    <t>Espinheira-santa</t>
  </si>
  <si>
    <t>Mata Atlântica e Serra</t>
  </si>
  <si>
    <t>Sul do Brasil</t>
  </si>
  <si>
    <t>Folhas</t>
  </si>
  <si>
    <t>Meia sombra</t>
  </si>
  <si>
    <t>Infusão contra gastrite, refluxo e úlcera</t>
  </si>
  <si>
    <t>https://upload.wikimedia.org/wikipedia/commons/8/8c/Maytenus_ilicifolia.jpg</t>
  </si>
  <si>
    <t>Cymbopogon citratus</t>
  </si>
  <si>
    <t>Capim-cidreira</t>
  </si>
  <si>
    <t>Hortas e jardins</t>
  </si>
  <si>
    <t>Ásia</t>
  </si>
  <si>
    <t>Chá calmante para ansiedade e insônia</t>
  </si>
  <si>
    <t>https://upload.wikimedia.org/wikipedia/commons/1/1f/Cymbopogon_citratus.jpg</t>
  </si>
  <si>
    <t>Mentha spicata</t>
  </si>
  <si>
    <t>Hortelã</t>
  </si>
  <si>
    <t>Quintais urbanos</t>
  </si>
  <si>
    <t>Europa e Ásia</t>
  </si>
  <si>
    <t>Chá e xaropes</t>
  </si>
  <si>
    <t>Interno e externo</t>
  </si>
  <si>
    <t>Chá digestivo; inalação para congestão</t>
  </si>
  <si>
    <t>https://upload.wikimedia.org/wikipedia/commons/0/08/Mentha_spicata.jpeg</t>
  </si>
  <si>
    <t>Foeniculum vulgare</t>
  </si>
  <si>
    <t>Funcho/Erva-doce</t>
  </si>
  <si>
    <t>Hortas agrícolas</t>
  </si>
  <si>
    <t>Mediterrâneo</t>
  </si>
  <si>
    <t>Sementes e folhas</t>
  </si>
  <si>
    <t>Outono</t>
  </si>
  <si>
    <t>Pode intoxicar em excesso</t>
  </si>
  <si>
    <t>Sementes em altas doses</t>
  </si>
  <si>
    <t>Chá para cólicas e má digestão</t>
  </si>
  <si>
    <t>https://upload.wikimedia.org/wikipedia/commons/3/31/Foeniculum_vulgare.jpg</t>
  </si>
  <si>
    <t>Mikania glomerata</t>
  </si>
  <si>
    <t>Guaco</t>
  </si>
  <si>
    <t>Matas e áreas úmidas</t>
  </si>
  <si>
    <t>Brasil</t>
  </si>
  <si>
    <t>Xarope e chá</t>
  </si>
  <si>
    <t>Sim em excesso</t>
  </si>
  <si>
    <t>Folhas em doses elevadas</t>
  </si>
  <si>
    <t>Xarope expectorante para tosse e bronquite</t>
  </si>
  <si>
    <t>https://upload.wikimedia.org/wikipedia/commons/0/0d/Mikania_glomerata.jpg</t>
  </si>
  <si>
    <t>Aloe vera</t>
  </si>
  <si>
    <t>Babosa</t>
  </si>
  <si>
    <t>Jardins e vasos</t>
  </si>
  <si>
    <t>Norte da África</t>
  </si>
  <si>
    <t>Gel e pomada</t>
  </si>
  <si>
    <t>Externo</t>
  </si>
  <si>
    <t>Seiva amarela (aloína)</t>
  </si>
  <si>
    <t>Gel para queimaduras e cicatrização</t>
  </si>
  <si>
    <t>https://upload.wikimedia.org/wikipedia/commons/c/cd/Aloe_vera_flower.JPG</t>
  </si>
  <si>
    <t>Plantago major</t>
  </si>
  <si>
    <t>Tanchagem</t>
  </si>
  <si>
    <t>Campos úmidos</t>
  </si>
  <si>
    <t>Europa</t>
  </si>
  <si>
    <t>Chá e compressa</t>
  </si>
  <si>
    <t>Chá anti-inflamatório para garganta</t>
  </si>
  <si>
    <t>https://upload.wikimedia.org/wikipedia/commons/2/2f/Plantago_major.jpg</t>
  </si>
  <si>
    <t>Chenopodium ambrosioides</t>
  </si>
  <si>
    <t>Erva-de-santa-maria/Mastruz</t>
  </si>
  <si>
    <t>Quintais e áreas rurais</t>
  </si>
  <si>
    <t>América Tropical</t>
  </si>
  <si>
    <t>Óleo essencial e sementes</t>
  </si>
  <si>
    <t>Xarope expectorante e vermífugo tradicional</t>
  </si>
  <si>
    <t>https://upload.wikimedia.org/wikipedia/commons/e/e5/Chenopodium_ambrosioides.jpg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</si>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</sst>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1" displayName="PLANTAS" name="PLANTAS" id="1">
  <tableColumns count="15">
    <tableColumn name="Coluna 1" id="1"/>
    <tableColumn name="Nome popular/social" id="2"/>
    <tableColumn name="Região onde nasce no RS" id="3"/>
    <tableColumn name="É natural do RS?" id="4"/>
    <tableColumn name="Origem natural" id="5"/>
    <tableColumn name="Parte utilizada" id="6"/>
    <tableColumn name="Forma de uso" id="7"/>
    <tableColumn name="Época ideal de plantio" id="8"/>
    <tableColumn name="Uso interno ou externo" id="9"/>
    <tableColumn name="Necessidade de sol/sombra" id="10"/>
    <tableColumn name="É venenosa?" id="11"/>
    <tableColumn name="Partes tóxicas" id="12"/>
    <tableColumn name="Receitas medicinais" id="13"/>
    <tableColumn name="Imagem" id="14"/>
    <tableColumn name="Foto" id="1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3/31/Foeniculum_vulgare.jp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3.88"/>
    <col customWidth="1" min="3" max="3" width="24.25"/>
    <col customWidth="1" min="4" max="4" width="20.75"/>
    <col customWidth="1" min="5" max="5" width="18.5"/>
    <col customWidth="1" min="6" max="6" width="16.13"/>
    <col customWidth="1" min="7" max="7" width="15.63"/>
    <col customWidth="1" min="8" max="8" width="25.0"/>
    <col customWidth="1" min="9" max="9" width="25.5"/>
    <col customWidth="1" min="10" max="10" width="29.63"/>
    <col customWidth="1" min="11" max="11" width="24.63"/>
    <col customWidth="1" min="12" max="12" width="22.88"/>
    <col customWidth="1" min="13" max="1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ht="22.5" customHeight="1">
      <c r="A2" s="3" t="s">
        <v>15</v>
      </c>
      <c r="B2" s="3" t="s">
        <v>16</v>
      </c>
      <c r="C2" s="3" t="s">
        <v>17</v>
      </c>
      <c r="D2" s="4" t="s">
        <v>18</v>
      </c>
      <c r="E2" s="3" t="s">
        <v>19</v>
      </c>
      <c r="F2" s="3" t="s">
        <v>20</v>
      </c>
      <c r="G2" s="3" t="s">
        <v>21</v>
      </c>
      <c r="H2" s="4" t="s">
        <v>22</v>
      </c>
      <c r="I2" s="4" t="s">
        <v>23</v>
      </c>
      <c r="J2" s="4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5" t="str">
        <f>IMAGE("https://upload.wikimedia.org/wikipedia/commons/5/5c/Achyrocline_satureioides.jpg")</f>
        <v/>
      </c>
    </row>
    <row r="3" ht="22.5" customHeight="1">
      <c r="A3" s="3" t="s">
        <v>29</v>
      </c>
      <c r="B3" s="3" t="s">
        <v>30</v>
      </c>
      <c r="C3" s="3" t="s">
        <v>31</v>
      </c>
      <c r="D3" s="4" t="s">
        <v>18</v>
      </c>
      <c r="E3" s="3" t="s">
        <v>32</v>
      </c>
      <c r="F3" s="3" t="s">
        <v>33</v>
      </c>
      <c r="G3" s="3" t="s">
        <v>21</v>
      </c>
      <c r="H3" s="4" t="s">
        <v>34</v>
      </c>
      <c r="I3" s="4" t="s">
        <v>23</v>
      </c>
      <c r="J3" s="4" t="s">
        <v>24</v>
      </c>
      <c r="K3" s="3" t="s">
        <v>35</v>
      </c>
      <c r="L3" s="3" t="s">
        <v>36</v>
      </c>
      <c r="M3" s="3" t="s">
        <v>37</v>
      </c>
      <c r="N3" s="3" t="s">
        <v>38</v>
      </c>
      <c r="O3" s="5" t="str">
        <f>IMAGE("https://upload.wikimedia.org/wikipedia/commons/e/e2/Baccharis_trimera.jpg")</f>
        <v/>
      </c>
    </row>
    <row r="4" ht="22.5" customHeight="1">
      <c r="A4" s="3" t="s">
        <v>39</v>
      </c>
      <c r="B4" s="3" t="s">
        <v>40</v>
      </c>
      <c r="C4" s="3" t="s">
        <v>41</v>
      </c>
      <c r="D4" s="4" t="s">
        <v>18</v>
      </c>
      <c r="E4" s="3" t="s">
        <v>42</v>
      </c>
      <c r="F4" s="3" t="s">
        <v>43</v>
      </c>
      <c r="G4" s="3" t="s">
        <v>21</v>
      </c>
      <c r="H4" s="4" t="s">
        <v>34</v>
      </c>
      <c r="I4" s="4" t="s">
        <v>23</v>
      </c>
      <c r="J4" s="4" t="s">
        <v>44</v>
      </c>
      <c r="K4" s="3" t="s">
        <v>25</v>
      </c>
      <c r="L4" s="3" t="s">
        <v>26</v>
      </c>
      <c r="M4" s="3" t="s">
        <v>45</v>
      </c>
      <c r="N4" s="3" t="s">
        <v>46</v>
      </c>
      <c r="O4" s="5" t="str">
        <f>IMAGE("https://upload.wikimedia.org/wikipedia/commons/8/8c/Maytenus_ilicifolia.jpg")</f>
        <v/>
      </c>
    </row>
    <row r="5" ht="22.5" customHeight="1">
      <c r="A5" s="3" t="s">
        <v>47</v>
      </c>
      <c r="B5" s="3" t="s">
        <v>48</v>
      </c>
      <c r="C5" s="3" t="s">
        <v>49</v>
      </c>
      <c r="D5" s="4" t="s">
        <v>25</v>
      </c>
      <c r="E5" s="3" t="s">
        <v>50</v>
      </c>
      <c r="F5" s="3" t="s">
        <v>43</v>
      </c>
      <c r="G5" s="3" t="s">
        <v>21</v>
      </c>
      <c r="H5" s="4" t="s">
        <v>34</v>
      </c>
      <c r="I5" s="4" t="s">
        <v>23</v>
      </c>
      <c r="J5" s="4" t="s">
        <v>24</v>
      </c>
      <c r="K5" s="3" t="s">
        <v>25</v>
      </c>
      <c r="L5" s="3" t="s">
        <v>26</v>
      </c>
      <c r="M5" s="3" t="s">
        <v>51</v>
      </c>
      <c r="N5" s="3" t="s">
        <v>52</v>
      </c>
      <c r="O5" s="5" t="str">
        <f>IMAGE("https://upload.wikimedia.org/wikipedia/commons/1/1f/Cymbopogon_citratus.jpg")</f>
        <v/>
      </c>
    </row>
    <row r="6" ht="22.5" customHeight="1">
      <c r="A6" s="3" t="s">
        <v>53</v>
      </c>
      <c r="B6" s="3" t="s">
        <v>54</v>
      </c>
      <c r="C6" s="3" t="s">
        <v>55</v>
      </c>
      <c r="D6" s="4" t="s">
        <v>25</v>
      </c>
      <c r="E6" s="3" t="s">
        <v>56</v>
      </c>
      <c r="F6" s="3" t="s">
        <v>43</v>
      </c>
      <c r="G6" s="3" t="s">
        <v>57</v>
      </c>
      <c r="H6" s="4" t="s">
        <v>34</v>
      </c>
      <c r="I6" s="4" t="s">
        <v>58</v>
      </c>
      <c r="J6" s="4" t="s">
        <v>44</v>
      </c>
      <c r="K6" s="3" t="s">
        <v>25</v>
      </c>
      <c r="L6" s="3" t="s">
        <v>26</v>
      </c>
      <c r="M6" s="3" t="s">
        <v>59</v>
      </c>
      <c r="N6" s="3" t="s">
        <v>60</v>
      </c>
      <c r="O6" s="5" t="str">
        <f>IMAGE("https://upload.wikimedia.org/wikipedia/commons/0/08/Mentha_spicata.jpeg")</f>
        <v/>
      </c>
    </row>
    <row r="7" ht="22.5" customHeight="1">
      <c r="A7" s="3" t="s">
        <v>61</v>
      </c>
      <c r="B7" s="3" t="s">
        <v>62</v>
      </c>
      <c r="C7" s="3" t="s">
        <v>63</v>
      </c>
      <c r="D7" s="4" t="s">
        <v>25</v>
      </c>
      <c r="E7" s="3" t="s">
        <v>64</v>
      </c>
      <c r="F7" s="3" t="s">
        <v>65</v>
      </c>
      <c r="G7" s="3" t="s">
        <v>21</v>
      </c>
      <c r="H7" s="4" t="s">
        <v>66</v>
      </c>
      <c r="I7" s="4" t="s">
        <v>23</v>
      </c>
      <c r="J7" s="4" t="s">
        <v>24</v>
      </c>
      <c r="K7" s="3" t="s">
        <v>67</v>
      </c>
      <c r="L7" s="3" t="s">
        <v>68</v>
      </c>
      <c r="M7" s="3" t="s">
        <v>69</v>
      </c>
      <c r="N7" s="6" t="s">
        <v>70</v>
      </c>
      <c r="O7" s="5" t="str">
        <f>IMAGE("https://upload.wikimedia.org/wikipedia/commons/3/31/Foeniculum_vulgare.jpg")</f>
        <v/>
      </c>
    </row>
    <row r="8" ht="22.5" customHeight="1">
      <c r="A8" s="3" t="s">
        <v>71</v>
      </c>
      <c r="B8" s="3" t="s">
        <v>72</v>
      </c>
      <c r="C8" s="3" t="s">
        <v>73</v>
      </c>
      <c r="D8" s="4" t="s">
        <v>18</v>
      </c>
      <c r="E8" s="3" t="s">
        <v>74</v>
      </c>
      <c r="F8" s="3" t="s">
        <v>43</v>
      </c>
      <c r="G8" s="3" t="s">
        <v>75</v>
      </c>
      <c r="H8" s="4" t="s">
        <v>34</v>
      </c>
      <c r="I8" s="4" t="s">
        <v>23</v>
      </c>
      <c r="J8" s="4" t="s">
        <v>44</v>
      </c>
      <c r="K8" s="3" t="s">
        <v>76</v>
      </c>
      <c r="L8" s="3" t="s">
        <v>77</v>
      </c>
      <c r="M8" s="3" t="s">
        <v>78</v>
      </c>
      <c r="N8" s="3" t="s">
        <v>79</v>
      </c>
      <c r="O8" s="5" t="str">
        <f>IMAGE("https://upload.wikimedia.org/wikipedia/commons/0/0d/Mikania_glomerata.jpg")</f>
        <v/>
      </c>
    </row>
    <row r="9" ht="22.5" customHeight="1">
      <c r="A9" s="3" t="s">
        <v>80</v>
      </c>
      <c r="B9" s="3" t="s">
        <v>81</v>
      </c>
      <c r="C9" s="3" t="s">
        <v>82</v>
      </c>
      <c r="D9" s="4" t="s">
        <v>25</v>
      </c>
      <c r="E9" s="3" t="s">
        <v>83</v>
      </c>
      <c r="F9" s="3" t="s">
        <v>43</v>
      </c>
      <c r="G9" s="3" t="s">
        <v>84</v>
      </c>
      <c r="H9" s="4" t="s">
        <v>34</v>
      </c>
      <c r="I9" s="4" t="s">
        <v>85</v>
      </c>
      <c r="J9" s="4" t="s">
        <v>24</v>
      </c>
      <c r="K9" s="3" t="s">
        <v>18</v>
      </c>
      <c r="L9" s="3" t="s">
        <v>86</v>
      </c>
      <c r="M9" s="3" t="s">
        <v>87</v>
      </c>
      <c r="N9" s="3" t="s">
        <v>88</v>
      </c>
      <c r="O9" s="5" t="str">
        <f>IMAGE("https://upload.wikimedia.org/wikipedia/commons/c/cd/Aloe_vera_flower.JPG")</f>
        <v/>
      </c>
    </row>
    <row r="10" ht="22.5" customHeight="1">
      <c r="A10" s="3" t="s">
        <v>89</v>
      </c>
      <c r="B10" s="3" t="s">
        <v>90</v>
      </c>
      <c r="C10" s="3" t="s">
        <v>91</v>
      </c>
      <c r="D10" s="4" t="s">
        <v>25</v>
      </c>
      <c r="E10" s="3" t="s">
        <v>92</v>
      </c>
      <c r="F10" s="3" t="s">
        <v>43</v>
      </c>
      <c r="G10" s="3" t="s">
        <v>93</v>
      </c>
      <c r="H10" s="4" t="s">
        <v>66</v>
      </c>
      <c r="I10" s="4" t="s">
        <v>58</v>
      </c>
      <c r="J10" s="4" t="s">
        <v>44</v>
      </c>
      <c r="K10" s="3" t="s">
        <v>25</v>
      </c>
      <c r="L10" s="3" t="s">
        <v>26</v>
      </c>
      <c r="M10" s="3" t="s">
        <v>94</v>
      </c>
      <c r="N10" s="3" t="s">
        <v>95</v>
      </c>
      <c r="O10" s="5" t="str">
        <f>IMAGE("https://upload.wikimedia.org/wikipedia/commons/2/2f/Plantago_major.jpg")</f>
        <v/>
      </c>
    </row>
    <row r="11" ht="22.5" customHeight="1">
      <c r="A11" s="3" t="s">
        <v>96</v>
      </c>
      <c r="B11" s="3" t="s">
        <v>97</v>
      </c>
      <c r="C11" s="3" t="s">
        <v>98</v>
      </c>
      <c r="D11" s="4" t="s">
        <v>18</v>
      </c>
      <c r="E11" s="3" t="s">
        <v>99</v>
      </c>
      <c r="F11" s="3" t="s">
        <v>43</v>
      </c>
      <c r="G11" s="3" t="s">
        <v>75</v>
      </c>
      <c r="H11" s="4" t="s">
        <v>34</v>
      </c>
      <c r="I11" s="4" t="s">
        <v>23</v>
      </c>
      <c r="J11" s="4" t="s">
        <v>24</v>
      </c>
      <c r="K11" s="3" t="s">
        <v>18</v>
      </c>
      <c r="L11" s="3" t="s">
        <v>100</v>
      </c>
      <c r="M11" s="3" t="s">
        <v>101</v>
      </c>
      <c r="N11" s="3" t="s">
        <v>102</v>
      </c>
      <c r="O11" s="5" t="str">
        <f>IMAGE("https://upload.wikimedia.org/wikipedia/commons/e/e5/Chenopodium_ambrosioides.jpg")</f>
        <v/>
      </c>
    </row>
    <row r="14">
      <c r="F14" s="7" t="s">
        <v>103</v>
      </c>
    </row>
  </sheetData>
  <dataValidations>
    <dataValidation type="list" allowBlank="1" showDropDown="1" showErrorMessage="1" sqref="D2:D11">
      <formula1>"Sim,Não"</formula1>
    </dataValidation>
    <dataValidation type="list" allowBlank="1" showDropDown="1" showErrorMessage="1" sqref="J2:J11">
      <formula1>"Sol pleno,Meia sombra"</formula1>
    </dataValidation>
    <dataValidation type="list" allowBlank="1" showDropDown="1" showErrorMessage="1" sqref="H2:H11">
      <formula1>"Outono e primavera,Primavera,Outono"</formula1>
    </dataValidation>
    <dataValidation type="list" allowBlank="1" showDropDown="1" showErrorMessage="1" sqref="I2:I11">
      <formula1>"Interno,Interno e externo,Externo"</formula1>
    </dataValidation>
  </dataValidations>
  <hyperlinks>
    <hyperlink r:id="rId1" ref="N7"/>
  </hyperlinks>
  <drawing r:id="rId2"/>
  <tableParts count="1">
    <tablePart r:id="rId4"/>
  </tableParts>
</worksheet>
</file>